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s\DNS-Benchmarker\results\"/>
    </mc:Choice>
  </mc:AlternateContent>
  <xr:revisionPtr revIDLastSave="0" documentId="13_ncr:1_{66B40AD6-5449-4417-A2D9-D5EF328ABD0A}" xr6:coauthVersionLast="47" xr6:coauthVersionMax="47" xr10:uidLastSave="{00000000-0000-0000-0000-000000000000}"/>
  <bookViews>
    <workbookView xWindow="-96" yWindow="-96" windowWidth="23232" windowHeight="12432" xr2:uid="{4B230C6B-CB97-40A4-A084-53DB609E8370}"/>
  </bookViews>
  <sheets>
    <sheet name="Ranking the Results" sheetId="1" r:id="rId1"/>
    <sheet name="Source Data from CSV" sheetId="2" r:id="rId2"/>
    <sheet name="DNS Server from CSV" sheetId="3" r:id="rId3"/>
  </sheets>
  <definedNames>
    <definedName name="ExternalData_1" localSheetId="2" hidden="1">'DNS Server from CSV'!$A$1:$E$13</definedName>
    <definedName name="ExternalData_1" localSheetId="1" hidden="1">'Source Data from CSV'!$A$1:$F$97</definedName>
    <definedName name="FromArray_1">_xlfn.ANCHORARRAY('Ranking the Results'!$C$2)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G2" i="1" l="1" a="1"/>
  <c r="D2" i="1" l="1" a="1"/>
  <c r="C2" i="1" a="1"/>
  <c r="B2" i="1" l="1" a="1"/>
  <c r="C19" i="1" l="1"/>
  <c r="D19" i="1" s="1"/>
  <c r="C18" i="1"/>
  <c r="D18" i="1" s="1"/>
  <c r="C20" i="1"/>
  <c r="D20" i="1" s="1"/>
  <c r="C17" i="1"/>
  <c r="D1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444940-F18A-4B4D-BC97-D92B80F5FFAE}" keepAlive="1" name="Query - DNS-Query-Results" description="Connection to the 'DNS-Query-Results' query in the workbook." type="5" refreshedVersion="8" background="1" saveData="1">
    <dbPr connection="Provider=Microsoft.Mashup.OleDb.1;Data Source=$Workbook$;Location=DNS-Query-Results;Extended Properties=&quot;&quot;" command="SELECT * FROM [DNS-Query-Results]"/>
  </connection>
  <connection id="2" xr16:uid="{54BDA132-6FFA-4E02-B811-305DF5966C6F}" keepAlive="1" name="Query - dns-servers" description="Connection to the 'dns-servers' query in the workbook." type="5" refreshedVersion="8" background="1" saveData="1">
    <dbPr connection="Provider=Microsoft.Mashup.OleDb.1;Data Source=$Workbook$;Location=dns-servers;Extended Properties=&quot;&quot;" command="SELECT * FROM [dns-server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<sst xmlns="http://schemas.openxmlformats.org/spreadsheetml/2006/main" count="354" uniqueCount="151">
  <si>
    <t>DNS Tested</t>
  </si>
  <si>
    <t>Target Website</t>
  </si>
  <si>
    <t>Query Times (ms)</t>
  </si>
  <si>
    <t>Date Tested</t>
  </si>
  <si>
    <t>Frequency Tested</t>
  </si>
  <si>
    <t>Avg Query Time</t>
  </si>
  <si>
    <t>Cloudflare Primary DNS</t>
  </si>
  <si>
    <t>www.facebook.com</t>
  </si>
  <si>
    <t>www.google.com</t>
  </si>
  <si>
    <t>www.amazon.com</t>
  </si>
  <si>
    <t>www.nos.nl</t>
  </si>
  <si>
    <t>www.bbc.co.uk</t>
  </si>
  <si>
    <t>www.github.com</t>
  </si>
  <si>
    <t>www.netflix.com</t>
  </si>
  <si>
    <t>www.hbomax.com</t>
  </si>
  <si>
    <t>Cloudflare Secondary DNS</t>
  </si>
  <si>
    <t>Google Primary DNS</t>
  </si>
  <si>
    <t>Google Secondary DNS</t>
  </si>
  <si>
    <t>Quad9 Primary DNS</t>
  </si>
  <si>
    <t>Quad9 Secondary DNS</t>
  </si>
  <si>
    <t>NextDNS Primary DNS</t>
  </si>
  <si>
    <t>NextDNS Secondary DNS</t>
  </si>
  <si>
    <t>OpenDNS Primary DNS</t>
  </si>
  <si>
    <t>OpenDNS Secondary DNS</t>
  </si>
  <si>
    <t>AdGuard DNS Primary DNS</t>
  </si>
  <si>
    <t>Adguard DNS Secondary DNS</t>
  </si>
  <si>
    <t>Rank</t>
  </si>
  <si>
    <t>DNS Provider</t>
  </si>
  <si>
    <t>Avg Query Time (ms)</t>
  </si>
  <si>
    <t>ID</t>
  </si>
  <si>
    <t>Provider</t>
  </si>
  <si>
    <t>DNS #</t>
  </si>
  <si>
    <t>IP4 Address</t>
  </si>
  <si>
    <t>Description</t>
  </si>
  <si>
    <t>Cloudflare</t>
  </si>
  <si>
    <t>DNS-1</t>
  </si>
  <si>
    <t>1.1.1.1</t>
  </si>
  <si>
    <t>DNS-2</t>
  </si>
  <si>
    <t>1.0.0.1</t>
  </si>
  <si>
    <t>Google</t>
  </si>
  <si>
    <t>8.8.8.8</t>
  </si>
  <si>
    <t>8.8.4.4</t>
  </si>
  <si>
    <t>Quad9</t>
  </si>
  <si>
    <t>9.9.9.9</t>
  </si>
  <si>
    <t>149.112.112.112</t>
  </si>
  <si>
    <t>NextDNS</t>
  </si>
  <si>
    <t>45.90.28.232</t>
  </si>
  <si>
    <t>45.90.30.232</t>
  </si>
  <si>
    <t>OpenDNS</t>
  </si>
  <si>
    <t>208.67.222.222</t>
  </si>
  <si>
    <t>208.67.220.220</t>
  </si>
  <si>
    <t>AdGuardDNS</t>
  </si>
  <si>
    <t>94.140.14.14</t>
  </si>
  <si>
    <t>94.140.15.15</t>
  </si>
  <si>
    <t>Servers to use for my Technitium Server setup</t>
  </si>
  <si>
    <t>62.64, 47.05, 47.5, 46.66, 46.63, 49.33, 46.21, 45.72, 48.58, 48.27</t>
  </si>
  <si>
    <t>45.15, 47.45, 47.55, 42.32, 46.2, 47.64, 47.57, 47.72, 48.05, 47.17</t>
  </si>
  <si>
    <t>49.55, 50.63, 45.4, 47.94, 46.56, 47.82, 44.6, 47.24, 45.9, 42.77</t>
  </si>
  <si>
    <t>115.4, 55.57, 122.37, 62.99, 59.68, 52.87, 55.78, 46.44, 57.01, 57.52</t>
  </si>
  <si>
    <t>50.83, 52.39, 49.08, 51.06, 49.07, 48.6, 47.68, 45.92, 46.8, 49.63</t>
  </si>
  <si>
    <t>46.08, 47.6, 47.95, 45.59, 48.27, 48.69, 50.35, 46.86, 46.7, 49.18</t>
  </si>
  <si>
    <t>46.44, 46.65, 46.69, 44.77, 47.08, 47.27, 47.06, 46.85, 46.79, 46.18</t>
  </si>
  <si>
    <t>42.69, 49.21, 46.77, 48.28, 48.15, 46.72, 45.6, 47.48, 47.73, 44.06</t>
  </si>
  <si>
    <t>48.78, 47.21, 47.42, 45.03, 50.55, 50.4, 44.72, 46.85, 45.24, 49.56</t>
  </si>
  <si>
    <t>47.53, 46.22, 45.87, 47.61, 47.23, 48.03, 47.05, 45.31, 45.77, 46.28</t>
  </si>
  <si>
    <t>46, 47.84, 48.27, 46.48, 48.61, 47.04, 43.73, 47.65, 47.27, 48.08</t>
  </si>
  <si>
    <t>58.14, 50.71, 50.53, 105.13, 64.63, 53.01, 46.94, 47.59, 47.42, 55.38</t>
  </si>
  <si>
    <t>58.24, 49.15, 47.69, 50.32, 48.11, 47.23, 49.66, 45.2, 48.29, 45.44</t>
  </si>
  <si>
    <t>48.32, 47.17, 48.66, 46.1, 46.61, 44.57, 48.18, 46.96, 46.48, 46.89</t>
  </si>
  <si>
    <t>46.56, 43.55, 49.03, 46.33, 46.58, 47.1, 47.54, 47.42, 47.04, 45.86</t>
  </si>
  <si>
    <t>47.55, 47.61, 46.92, 48.75, 49.66, 46.64, 46.26, 54.47, 48.39, 46.79</t>
  </si>
  <si>
    <t>182.84, 156.84, 191.78, 188.74, 137.48, 137.25, 137.53, 137.81, 137.6, 135.56</t>
  </si>
  <si>
    <t>137.17, 140.09, 143.1, 138.56, 137.61, 138.67, 142.37, 137.2, 140.38, 138.83</t>
  </si>
  <si>
    <t>140.7, 140.84, 145.26, 137.88, 144.45, 141.22, 139.56, 138.69, 139.58, 142.48</t>
  </si>
  <si>
    <t>145.58, 208.38, 144.65, 249.93, 138.19, 187.37, 143.18, 251.27, 137, 137.69</t>
  </si>
  <si>
    <t>142.03, 142.95, 142.44, 138.72, 137.37, 139.59, 137.34, 142.95, 139.08, 136.8</t>
  </si>
  <si>
    <t>138.9, 138.01, 141.48, 139.84, 135.74, 138.4, 137.36, 137.69, 138.15, 142.92</t>
  </si>
  <si>
    <t>134.17, 136.83, 137.19, 137.9, 138.57, 137.39, 136.52, 136.94, 137.02, 137.07</t>
  </si>
  <si>
    <t>141.1, 148.78, 142.38, 137.93, 140.06, 140.12, 143.01, 137.97, 140.71, 140.78</t>
  </si>
  <si>
    <t>144.63, 138.36, 140.97, 136.51, 139.05, 138.88, 141.8, 137.26, 136.45, 138.39</t>
  </si>
  <si>
    <t>141.03, 137.88, 133.86, 138.1, 137.65, 138.08, 136.12, 137.72, 137.06, 138.33</t>
  </si>
  <si>
    <t>185.65, 138.47, 143.43, 187.69, 139.55, 138.51, 138.32, 140.55, 136.93, 145.56</t>
  </si>
  <si>
    <t>136.93, 133.39, 138.82, 137.16, 148.49, 136.52, 135.94, 136.8, 137.12, 137.97</t>
  </si>
  <si>
    <t>138.81, 142.72, 137.03, 137.92, 140.99, 137.07, 138.42, 137.35, 138, 137.86</t>
  </si>
  <si>
    <t>136.96, 139.57, 138.61, 137.51, 136.96, 137.46, 138.05, 136.21, 137.16, 138.25</t>
  </si>
  <si>
    <t>136.17, 137.67, 135.94, 139.69, 137.88, 135.86, 136.2, 137.73, 136.96, 137.35</t>
  </si>
  <si>
    <t>137.17, 145.12, 136.76, 135.87, 137.53, 138.48, 138.02, 137.55, 134.63, 137.1</t>
  </si>
  <si>
    <t>124.68, 125.9, 125.63, 125.66, 126.13, 125.54, 125.7, 126.48, 123.26, 125.13</t>
  </si>
  <si>
    <t>122.35, 125.51, 126.97, 126.52, 123.55, 126.61, 125.35, 125.56, 125.32, 125.33</t>
  </si>
  <si>
    <t>126.14, 127.07, 126.5, 124.3, 126.6, 129.5, 124.2, 158.43, 128.18, 125.86</t>
  </si>
  <si>
    <t>458.95, 457.23, 126.52, 125.65, 126.04, 126.06, 123.54, 127.78, 126.29, 126.14</t>
  </si>
  <si>
    <t>318.21, 135.79, 125.17, 125.8, 127.95, 126.64, 129.5, 127.41, 126.81, 125.01</t>
  </si>
  <si>
    <t>125.79, 127.17, 128.35, 127.23, 127.47, 127.22, 126.44, 127.47, 127.37, 127.06</t>
  </si>
  <si>
    <t>128.39, 128.65, 124.48, 127.42, 125.85, 132.22, 125.49, 126.45, 126.71, 126.51</t>
  </si>
  <si>
    <t>130.61, 128.79, 124.26, 126.68, 123.59, 191.21, 124.09, 124.87, 125.68, 125.59</t>
  </si>
  <si>
    <t>124.18, 126.15, 125.94, 127.18, 129.12, 126.23, 125.98, 127.07, 126.9, 125.12</t>
  </si>
  <si>
    <t>127.37, 127.96, 127.73, 125.92, 126.51, 128.39, 126.55, 123.15, 126.59, 127.7</t>
  </si>
  <si>
    <t>127.07, 128.05, 125.13, 126.77, 125.29, 126.61, 127.08, 128.34, 126.45, 122.34</t>
  </si>
  <si>
    <t>124.19, 128.55, 127.54, 127.31, 126.32, 123.54, 127.99, 126.58, 126.86, 123.31</t>
  </si>
  <si>
    <t>124.8, 131.43, 125.77, 125.65, 125.97, 126.63, 126.39, 125.39, 129.44, 126.56</t>
  </si>
  <si>
    <t>126.45, 121.58, 134.01, 126.78, 233.68, 124.25, 125.54, 131.46, 127.34, 130.83</t>
  </si>
  <si>
    <t>127, 125.79, 123.38, 125.72, 127.16, 126.68, 125.88, 126.81, 125.94, 125.16</t>
  </si>
  <si>
    <t>125.21, 126.45, 127.08, 126.76, 128.38, 125.15, 125.23, 130.12, 126.33, 124.21</t>
  </si>
  <si>
    <t>49, 46.06, 46.49, 47.39, 46.89, 46.41, 46.85, 47.34, 45.86, 43.46</t>
  </si>
  <si>
    <t>46.48, 45.11, 45.81, 47.87, 46.09, 46.32, 43.95, 45.78, 49.01, 47.62</t>
  </si>
  <si>
    <t>57.78, 46.93, 45.8, 46.55, 46.92, 46.62, 52.06, 51.42, 51.48, 45.4</t>
  </si>
  <si>
    <t>1042.77, 46.95, 46.29, 45.66, 42.69, 43.95, 47.62, 46.2, 47.38, 47.64</t>
  </si>
  <si>
    <t>180.08, 46.14, 46.53, 46.71, 44.45, 46.86, 45.35, 46.22, 48.88, 49.71</t>
  </si>
  <si>
    <t>127.64, 45.6, 45.66, 45.85, 45.99, 43.51, 46.34, 47, 45.53, 45.7</t>
  </si>
  <si>
    <t>49.5, 47.14, 48.95, 46.33, 47.62, 46.3, 46.61, 46.21, 46.18, 45.8</t>
  </si>
  <si>
    <t>78.9, 46.4, 46.35, 46.02, 48.1, 47.95, 46.15, 46.43, 43.06, 1039.86</t>
  </si>
  <si>
    <t>91.68, 95.97, 88.93, 47.56, 40.88, 46.34, 46.42, 45.87, 42.71, 47.53</t>
  </si>
  <si>
    <t>45.32, 45.49, 46.17, 46.9, 44.77, 45.96, 46.54, 48.7, 50.9, 43.31</t>
  </si>
  <si>
    <t>45.19, 47.4, 44.62, 44.22, 45.05, 45.96, 45.82, 45.74, 47.62, 50.7</t>
  </si>
  <si>
    <t>105.15, 47.37, 46.88, 46.96, 46.9, 48.5, 47.04, 45.05, 46.01, 46.11</t>
  </si>
  <si>
    <t>272.53, 46.96, 46.36, 42.95, 45.45, 46.45, 47.19, 46.36, 46.9, 42.42</t>
  </si>
  <si>
    <t>46.78, 47.99, 44.41, 46.06, 47.25, 58.35, 47.25, 42.75, 46.38, 45.8</t>
  </si>
  <si>
    <t>46.31, 48.28, 47.29, 53.88, 47.24, 49.17, 46.55, 52.53, 42.48, 46.19</t>
  </si>
  <si>
    <t>145.48, 43.15, 43.09, 46.96, 1040.52, 45.74, 47.08, 46.17, 46.15, 46.01</t>
  </si>
  <si>
    <t>49.82, 126.66, 48.34, 47.32, 51.29, 47.29, 128.38, 48.66, 52.25, 45.83</t>
  </si>
  <si>
    <t>81.92, 87.87, 52.79, 77.33, 51.73, 46.3, 48.12, 52.65, 46.85, 46.08</t>
  </si>
  <si>
    <t>50.83, 122.09, 131.49, 52.89, 47.08, 50.17, 52.42, 63.25, 56.02, 50.22</t>
  </si>
  <si>
    <t>284.09, 51.27, 202.73, 225.47, 46.53, 251.27, 277.71, 166.5, 47.58, 414.62</t>
  </si>
  <si>
    <t>664.44, 47.79, 49.29, 45.78, 368.16, 46.97, 51.31, 45.69, 758.09, 47.67</t>
  </si>
  <si>
    <t>93.44, 50.41, 51.22, 48.96, 50.32, 109.21, 89.18, 51.52, 48.84, 47.36</t>
  </si>
  <si>
    <t>39.46, 44.94, 48.19, 44.4, 43.84, 46.56, 49.9, 45.73, 44.85, 47.18</t>
  </si>
  <si>
    <t>45.61, 47.17, 126.93, 196.35, 47.96, 52.3, 42.15, 46.88, 48.35, 49.33</t>
  </si>
  <si>
    <t>98.32, 40.02, 52.34, 45.73, 47.49, 47, 49.53, 52.89, 45.61, 47.68</t>
  </si>
  <si>
    <t>83.85, 51.43, 47.84, 45.75, 47.59, 82.11, 47.92, 53.9, 43.64, 44.23</t>
  </si>
  <si>
    <t>60.21, 59.7, 61.6, 79.63, 61.13, 71.46, 55.62, 63.09, 69.93, 172.43</t>
  </si>
  <si>
    <t>40.03, 63.74, 50.02, 279.05, 54.93, 57.16, 109.77, 247.4, 153.02, 222.93</t>
  </si>
  <si>
    <t>46.97, 153.21, 50.79, 47.84, 45.53, 46.81, 46.71, 149.18, 47.54, 47.06</t>
  </si>
  <si>
    <t>46.15, 47.59, 49.72, 50.65, 46.62, 48.66, 44.31, 46.1, 42.13, 46.53</t>
  </si>
  <si>
    <t>52.67, 49.06, 41.79, 43.01, 46.46, 46.63, 48.35, 45.64, 47.5, 45.19</t>
  </si>
  <si>
    <t>45.13, 48.4, 103.14, 45.66, 50.8, 48.38, 44.93, 46.01, 47.42, 49.11</t>
  </si>
  <si>
    <t>503.29, 45.01, 45.63, 45.13, 46.35, 42.98, 39.55, 44.86, 45.35, 48.4</t>
  </si>
  <si>
    <t>81.88, 43.02, 45.77, 46.06, 42.78, 45.33, 46.67, 45.28, 45.39, 43.3</t>
  </si>
  <si>
    <t>383.71, 46.1, 46.57, 47, 48.18, 44.08, 45.9, 46.44, 48.2, 46.03</t>
  </si>
  <si>
    <t>156.26, 44.72, 45.7, 46.89, 42.62, 46.47, 48.88, 45.62, 43.67, 46.34</t>
  </si>
  <si>
    <t>952.4, 46.74, 43.96, 46.36, 44.62, 45.06, 45.41, 41.45, 46.74, 46.96</t>
  </si>
  <si>
    <t>162.76, 45.64, 46.34, 46.54, 46.28, 45.23, 45.55, 45.11, 42.45, 47.43</t>
  </si>
  <si>
    <t>48.82, 45.27, 46.43, 44.96, 45.57, 41.06, 44.44, 44.96, 45.75, 46.18</t>
  </si>
  <si>
    <t>277.1, 44.28, 49.54, 44.26, 46.02, 45.35, 45.95, 44.11, 46.66, 43.75</t>
  </si>
  <si>
    <t>45.94, 45.63, 48.06, 48.06, 46.48, 45.52, 44.51, 44.61, 44.68, 46.29</t>
  </si>
  <si>
    <t>45.5, 45.64, 45.38, 45.93, 46.42, 46.7, 45.23, 46.01, 46.98, 49.64</t>
  </si>
  <si>
    <t>46.3, 47.17, 46.26, 46.76, 46.55, 46.3, 46.2, 45.28, 45.11, 45.71</t>
  </si>
  <si>
    <t>46.64, 45.15, 46.36, 45.52, 45.73, 45.94, 45.34, 45.9, 46.18, 46.64</t>
  </si>
  <si>
    <t>47.17, 44.81, 45.77, 45.66, 45.72, 45.07, 45.05, 47.11, 45.01, 46.81</t>
  </si>
  <si>
    <t>45.57, 44.11, 44.33, 44.91, 46.12, 45.28, 46.13, 45.73, 45.11, 44.7</t>
  </si>
  <si>
    <t>45.91, 45.61, 45.98, 46.42, 44.66, 44.77, 47.1, 44.93, 46.16, 44.83</t>
  </si>
  <si>
    <t>44.72, 45.96, 46.03, 46.83, 46.44, 46.84, 45.61, 47.32, 47.6, 46.77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</si>
</sst>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8" fillId="33" borderId="0" xfId="0" applyFont="1" applyFill="1"/>
    <xf numFmtId="0" fontId="0" fillId="0" borderId="10" xfId="0" applyBorder="1"/>
    <xf numFmtId="2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12" xfId="0" applyBorder="1"/>
    <xf numFmtId="0" fontId="18" fillId="33" borderId="10" xfId="0" applyFont="1" applyFill="1" applyBorder="1"/>
    <xf numFmtId="0" fontId="0" fillId="0" borderId="0" xfId="0" applyAlignment="1">
      <alignment horizontal="center"/>
    </xf>
    <xf numFmtId="0" fontId="19" fillId="0" borderId="11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DNS Provider Ranking by Avg Query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'Ranking the Results'!$D$1</c:f>
              <c:strCache>
                <c:ptCount val="1"/>
                <c:pt idx="0">
                  <c:v>Avg Query Time (ms)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60-4C3C-8CFB-A867D374CB25}"/>
              </c:ext>
            </c:extLst>
          </c:dPt>
          <c:dPt>
            <c:idx val="1"/>
            <c:invertIfNegative val="0"/>
            <c:bubble3D val="0"/>
            <c:spPr>
              <a:solidFill>
                <a:srgbClr val="2EB3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F60-4C3C-8CFB-A867D374CB25}"/>
              </c:ext>
            </c:extLst>
          </c:dPt>
          <c:dPt>
            <c:idx val="2"/>
            <c:invertIfNegative val="0"/>
            <c:bubble3D val="0"/>
            <c:spPr>
              <a:solidFill>
                <a:srgbClr val="5DB6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60-4C3C-8CFB-A867D374CB25}"/>
              </c:ext>
            </c:extLst>
          </c:dPt>
          <c:dPt>
            <c:idx val="3"/>
            <c:invertIfNegative val="0"/>
            <c:bubble3D val="0"/>
            <c:spPr>
              <a:solidFill>
                <a:srgbClr val="8BB92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F60-4C3C-8CFB-A867D374CB25}"/>
              </c:ext>
            </c:extLst>
          </c:dPt>
          <c:dPt>
            <c:idx val="4"/>
            <c:invertIfNegative val="0"/>
            <c:bubble3D val="0"/>
            <c:spPr>
              <a:solidFill>
                <a:srgbClr val="B9BC1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F60-4C3C-8CFB-A867D374CB25}"/>
              </c:ext>
            </c:extLst>
          </c:dPt>
          <c:dPt>
            <c:idx val="5"/>
            <c:invertIfNegative val="0"/>
            <c:bubble3D val="0"/>
            <c:spPr>
              <a:solidFill>
                <a:srgbClr val="E8BF0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F60-4C3C-8CFB-A867D374CB25}"/>
              </c:ext>
            </c:extLst>
          </c:dPt>
          <c:dPt>
            <c:idx val="6"/>
            <c:invertIfNegative val="0"/>
            <c:bubble3D val="0"/>
            <c:spPr>
              <a:solidFill>
                <a:srgbClr val="FFA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F60-4C3C-8CFB-A867D374CB25}"/>
              </c:ext>
            </c:extLst>
          </c:dPt>
          <c:dPt>
            <c:idx val="7"/>
            <c:invertIfNegative val="0"/>
            <c:bubble3D val="0"/>
            <c:spPr>
              <a:solidFill>
                <a:srgbClr val="FF8C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F60-4C3C-8CFB-A867D374CB25}"/>
              </c:ext>
            </c:extLst>
          </c:dPt>
          <c:dPt>
            <c:idx val="8"/>
            <c:invertIfNegative val="0"/>
            <c:bubble3D val="0"/>
            <c:spPr>
              <a:solidFill>
                <a:srgbClr val="FF69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F60-4C3C-8CFB-A867D374CB25}"/>
              </c:ext>
            </c:extLst>
          </c:dPt>
          <c:dPt>
            <c:idx val="9"/>
            <c:invertIfNegative val="0"/>
            <c:bubble3D val="0"/>
            <c:spPr>
              <a:solidFill>
                <a:srgbClr val="FF46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EF60-4C3C-8CFB-A867D374CB25}"/>
              </c:ext>
            </c:extLst>
          </c:dPt>
          <c:dPt>
            <c:idx val="10"/>
            <c:invertIfNegative val="0"/>
            <c:bubble3D val="0"/>
            <c:spPr>
              <a:solidFill>
                <a:srgbClr val="FF2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F60-4C3C-8CFB-A867D374CB25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EF60-4C3C-8CFB-A867D374CB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the Results'!$C$2:$C$13</c:f>
              <c:strCache>
                <c:ptCount val="12"/>
                <c:pt idx="0">
                  <c:v>Adguard DNS Secondary DNS</c:v>
                </c:pt>
                <c:pt idx="1">
                  <c:v>Cloudflare Secondary DNS</c:v>
                </c:pt>
                <c:pt idx="2">
                  <c:v>Cloudflare Primary DNS</c:v>
                </c:pt>
                <c:pt idx="3">
                  <c:v>NextDNS Secondary DNS</c:v>
                </c:pt>
                <c:pt idx="4">
                  <c:v>OpenDNS Secondary DNS</c:v>
                </c:pt>
                <c:pt idx="5">
                  <c:v>AdGuard DNS Primary DNS</c:v>
                </c:pt>
                <c:pt idx="6">
                  <c:v>NextDNS Primary DNS</c:v>
                </c:pt>
                <c:pt idx="7">
                  <c:v>OpenDNS Primary DNS</c:v>
                </c:pt>
                <c:pt idx="8">
                  <c:v>Quad9 Secondary DNS</c:v>
                </c:pt>
                <c:pt idx="9">
                  <c:v>Quad9 Primary DNS</c:v>
                </c:pt>
                <c:pt idx="10">
                  <c:v>Google Secondary DNS</c:v>
                </c:pt>
                <c:pt idx="11">
                  <c:v>Google Primary DNS</c:v>
                </c:pt>
              </c:strCache>
            </c:strRef>
          </c:cat>
          <c:val>
            <c:numRef>
              <c:f>'Ranking the Results'!$D$2:$D$13</c:f>
              <c:numCache>
                <c:formatCode>0.00</c:formatCode>
                <c:ptCount val="12"/>
                <c:pt idx="0">
                  <c:v>45.936250000000001</c:v>
                </c:pt>
                <c:pt idx="1">
                  <c:v>48.78</c:v>
                </c:pt>
                <c:pt idx="2">
                  <c:v>50.128750000000004</c:v>
                </c:pt>
                <c:pt idx="3">
                  <c:v>65.413750000000007</c:v>
                </c:pt>
                <c:pt idx="4">
                  <c:v>65.663749999999993</c:v>
                </c:pt>
                <c:pt idx="5">
                  <c:v>72.936250000000001</c:v>
                </c:pt>
                <c:pt idx="6">
                  <c:v>74.72</c:v>
                </c:pt>
                <c:pt idx="7">
                  <c:v>97.56874999999998</c:v>
                </c:pt>
                <c:pt idx="8">
                  <c:v>127.89250000000001</c:v>
                </c:pt>
                <c:pt idx="9">
                  <c:v>138.32124999999999</c:v>
                </c:pt>
                <c:pt idx="10">
                  <c:v>139.43124999999998</c:v>
                </c:pt>
                <c:pt idx="11">
                  <c:v>145.76874999999998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0-4C3C-8CFB-A867D374C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3704528"/>
        <c:axId val="1126020464"/>
      </c:barChart>
      <c:catAx>
        <c:axId val="1573704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020464"/>
        <c:crosses val="autoZero"/>
        <c:auto val="1"/>
        <c:lblAlgn val="ctr"/>
        <c:lblOffset val="100"/>
        <c:noMultiLvlLbl val="0"/>
      </c:catAx>
      <c:valAx>
        <c:axId val="112602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Query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70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3" name="DNS Ranking Chart">
          <a:extLst>
            <a:ext uri="{FF2B5EF4-FFF2-40B4-BE49-F238E27FC236}">
              <a16:creationId xmlns:a16="http://schemas.microsoft.com/office/drawing/2014/main" id="{74E5968A-E097-A0B3-834F-3733BBC08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88B7D3-BB5C-4326-8A75-72745E3B453A}" autoFormatId="16" applyNumberFormats="0" applyBorderFormats="0" applyFontFormats="0" applyPatternFormats="0" applyAlignmentFormats="0" applyWidthHeightFormats="0">
  <queryTableRefresh nextId="7">
    <queryTableFields count="6">
      <queryTableField id="1" name="DNS Tested" tableColumnId="1"/>
      <queryTableField id="2" name="Target Website" tableColumnId="2"/>
      <queryTableField id="3" name="Query Times (ms)" tableColumnId="3"/>
      <queryTableField id="4" name="Date Tested" tableColumnId="4"/>
      <queryTableField id="5" name="Frequency Tested" tableColumnId="5"/>
      <queryTableField id="6" name="Avg Query Tim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C135801-B976-4AAB-9A5E-41A493548411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Provider" tableColumnId="2"/>
      <queryTableField id="3" name="DNS #" tableColumnId="3"/>
      <queryTableField id="4" name="IP4 Address" tableColumnId="4"/>
      <queryTableField id="5" name="Descrip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6C6ECE-8ACF-4E28-819C-1594BFFBA2D7}" name="DNS_Query_Results" displayName="DNS_Query_Results" ref="A1:F97" tableType="queryTable" totalsRowShown="0">
  <autoFilter ref="A1:F97" xr:uid="{5A6C6ECE-8ACF-4E28-819C-1594BFFBA2D7}"/>
  <tableColumns count="6">
    <tableColumn id="1" xr3:uid="{E4A13A6D-662A-434F-A780-5CC9E083FD5D}" uniqueName="1" name="DNS Tested" queryTableFieldId="1" dataDxfId="7"/>
    <tableColumn id="2" xr3:uid="{F0E73791-AD2A-4373-BF51-53BEFBC5B1C2}" uniqueName="2" name="Target Website" queryTableFieldId="2" dataDxfId="6"/>
    <tableColumn id="3" xr3:uid="{CA334B4F-BCAD-4157-B0B4-68DBDF4F7D28}" uniqueName="3" name="Query Times (ms)" queryTableFieldId="3" dataDxfId="5"/>
    <tableColumn id="4" xr3:uid="{1AC6A717-48A1-4B28-8E4D-9145CDB14485}" uniqueName="4" name="Date Tested" queryTableFieldId="4" dataDxfId="0"/>
    <tableColumn id="5" xr3:uid="{934A20F4-E15E-4043-AB23-09495BF35F0F}" uniqueName="5" name="Frequency Tested" queryTableFieldId="5"/>
    <tableColumn id="6" xr3:uid="{D5CA5B69-1CCC-4971-A30C-C29BE02806ED}" uniqueName="6" name="Avg Query Tim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021421-A3DE-4055-B03E-134C8260380C}" name="dns_servers" displayName="dns_servers" ref="A1:E13" tableType="queryTable" totalsRowShown="0">
  <autoFilter ref="A1:E13" xr:uid="{BB021421-A3DE-4055-B03E-134C8260380C}"/>
  <tableColumns count="5">
    <tableColumn id="1" xr3:uid="{1A5CD159-9FC0-44B3-A7FB-1CC8D863FD06}" uniqueName="1" name="ID" queryTableFieldId="1"/>
    <tableColumn id="2" xr3:uid="{C18AF742-330A-4581-ABB0-419E2E5E4C7F}" uniqueName="2" name="Provider" queryTableFieldId="2" dataDxfId="4"/>
    <tableColumn id="3" xr3:uid="{D69A6452-88E5-4DC0-B1FA-B8CBE6CF1D3C}" uniqueName="3" name="DNS #" queryTableFieldId="3" dataDxfId="3"/>
    <tableColumn id="4" xr3:uid="{0927AC84-37A3-41F4-9E49-F3F7DC0C0708}" uniqueName="4" name="IP4 Address" queryTableFieldId="4" dataDxfId="2"/>
    <tableColumn id="5" xr3:uid="{FFA8A0AA-0C93-45FD-A2DC-8D5C73B6A733}" uniqueName="5" name="Description" queryTableFieldId="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A18D-6A30-4080-BDDF-C263E7EF794C}">
  <dimension ref="A1:Z45"/>
  <sheetViews>
    <sheetView tabSelected="1" workbookViewId="0">
      <selection activeCell="A23" sqref="A23:Z45"/>
    </sheetView>
  </sheetViews>
  <sheetFormatPr defaultRowHeight="14.4" x14ac:dyDescent="0.55000000000000004"/>
  <cols>
    <col min="2" max="2" width="4.68359375" bestFit="1" customWidth="1"/>
    <col min="3" max="3" width="23.578125" bestFit="1" customWidth="1"/>
    <col min="4" max="4" width="17" bestFit="1" customWidth="1"/>
    <col min="6" max="7" width="0" hidden="1" customWidth="1"/>
  </cols>
  <sheetData>
    <row r="1" spans="1:26" x14ac:dyDescent="0.55000000000000004">
      <c r="A1" s="8"/>
      <c r="B1" s="2" t="s">
        <v>26</v>
      </c>
      <c r="C1" s="2" t="s">
        <v>27</v>
      </c>
      <c r="D1" s="2" t="s">
        <v>28</v>
      </c>
      <c r="E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55000000000000004">
      <c r="A2" s="8"/>
      <c r="B2" s="5" cm="1">
        <f t="array" ref="B2:B13">_xlfn.SEQUENCE(ROWS(_xlfn.ANCHORARRAY(C2)),1,1,1)</f>
        <v>1</v>
      </c>
      <c r="C2" s="3" t="str" cm="1">
        <f t="array" ref="C2:C13">_xlfn.SORTBY(_xlfn.ANCHORARRAY(F2),_xlfn.ANCHORARRAY(G2),1)</f>
        <v>Adguard DNS Secondary DNS</v>
      </c>
      <c r="D2" s="4" cm="1">
        <f t="array" ref="D2:D13">_xlfn.SORTBY(_xlfn.ANCHORARRAY(G2),_xlfn.ANCHORARRAY(G2),1)</f>
        <v>45.936250000000001</v>
      </c>
      <c r="E2" s="8"/>
      <c r="F2" t="str" cm="1">
        <f t="array" ref="F2:F13">_xlfn.UNIQUE(DNS_Query_Results[DNS Tested])</f>
        <v>Cloudflare Primary DNS</v>
      </c>
      <c r="G2" cm="1">
        <f t="array" ref="G2:G13">AVERAGEIF(DNS_Query_Results[DNS Tested],_xlfn.ANCHORARRAY(F2),DNS_Query_Results[Avg Query Time])</f>
        <v>50.128750000000004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55000000000000004">
      <c r="A3" s="8"/>
      <c r="B3" s="5">
        <v>2</v>
      </c>
      <c r="C3" s="3" t="str">
        <v>Cloudflare Secondary DNS</v>
      </c>
      <c r="D3" s="4">
        <v>48.78</v>
      </c>
      <c r="E3" s="8"/>
      <c r="F3" t="str">
        <v>Cloudflare Secondary DNS</v>
      </c>
      <c r="G3">
        <v>48.78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55000000000000004">
      <c r="A4" s="8"/>
      <c r="B4" s="5">
        <v>3</v>
      </c>
      <c r="C4" s="3" t="str">
        <v>Cloudflare Primary DNS</v>
      </c>
      <c r="D4" s="4">
        <v>50.128750000000004</v>
      </c>
      <c r="E4" s="8"/>
      <c r="F4" t="str">
        <v>Google Primary DNS</v>
      </c>
      <c r="G4">
        <v>145.76874999999998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55000000000000004">
      <c r="A5" s="8"/>
      <c r="B5" s="5">
        <v>4</v>
      </c>
      <c r="C5" s="3" t="str">
        <v>NextDNS Secondary DNS</v>
      </c>
      <c r="D5" s="4">
        <v>65.413750000000007</v>
      </c>
      <c r="E5" s="8"/>
      <c r="F5" t="str">
        <v>Google Secondary DNS</v>
      </c>
      <c r="G5">
        <v>139.43124999999998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55000000000000004">
      <c r="A6" s="8"/>
      <c r="B6" s="5">
        <v>5</v>
      </c>
      <c r="C6" s="3" t="str">
        <v>OpenDNS Secondary DNS</v>
      </c>
      <c r="D6" s="4">
        <v>65.663749999999993</v>
      </c>
      <c r="E6" s="8"/>
      <c r="F6" t="str">
        <v>Quad9 Primary DNS</v>
      </c>
      <c r="G6">
        <v>138.32124999999999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55000000000000004">
      <c r="A7" s="8"/>
      <c r="B7" s="5">
        <v>6</v>
      </c>
      <c r="C7" s="3" t="str">
        <v>AdGuard DNS Primary DNS</v>
      </c>
      <c r="D7" s="4">
        <v>72.936250000000001</v>
      </c>
      <c r="E7" s="8"/>
      <c r="F7" t="str">
        <v>Quad9 Secondary DNS</v>
      </c>
      <c r="G7">
        <v>127.89250000000001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55000000000000004">
      <c r="A8" s="8"/>
      <c r="B8" s="5">
        <v>7</v>
      </c>
      <c r="C8" s="3" t="str">
        <v>NextDNS Primary DNS</v>
      </c>
      <c r="D8" s="4">
        <v>74.72</v>
      </c>
      <c r="E8" s="8"/>
      <c r="F8" t="str">
        <v>NextDNS Primary DNS</v>
      </c>
      <c r="G8">
        <v>74.72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55000000000000004">
      <c r="A9" s="8"/>
      <c r="B9" s="5">
        <v>8</v>
      </c>
      <c r="C9" s="3" t="str">
        <v>OpenDNS Primary DNS</v>
      </c>
      <c r="D9" s="4">
        <v>97.56874999999998</v>
      </c>
      <c r="E9" s="8"/>
      <c r="F9" t="str">
        <v>NextDNS Secondary DNS</v>
      </c>
      <c r="G9">
        <v>65.413750000000007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55000000000000004">
      <c r="A10" s="8"/>
      <c r="B10" s="5">
        <v>9</v>
      </c>
      <c r="C10" s="3" t="str">
        <v>Quad9 Secondary DNS</v>
      </c>
      <c r="D10" s="4">
        <v>127.89250000000001</v>
      </c>
      <c r="E10" s="8"/>
      <c r="F10" t="str">
        <v>OpenDNS Primary DNS</v>
      </c>
      <c r="G10">
        <v>97.56874999999998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55000000000000004">
      <c r="A11" s="8"/>
      <c r="B11" s="5">
        <v>10</v>
      </c>
      <c r="C11" s="3" t="str">
        <v>Quad9 Primary DNS</v>
      </c>
      <c r="D11" s="4">
        <v>138.32124999999999</v>
      </c>
      <c r="E11" s="8"/>
      <c r="F11" t="str">
        <v>OpenDNS Secondary DNS</v>
      </c>
      <c r="G11">
        <v>65.663749999999993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55000000000000004">
      <c r="A12" s="8"/>
      <c r="B12" s="5">
        <v>11</v>
      </c>
      <c r="C12" s="3" t="str">
        <v>Google Secondary DNS</v>
      </c>
      <c r="D12" s="4">
        <v>139.43124999999998</v>
      </c>
      <c r="E12" s="8"/>
      <c r="F12" t="str">
        <v>AdGuard DNS Primary DNS</v>
      </c>
      <c r="G12">
        <v>72.936250000000001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55000000000000004">
      <c r="A13" s="8"/>
      <c r="B13" s="5">
        <v>12</v>
      </c>
      <c r="C13" s="3" t="str">
        <v>Google Primary DNS</v>
      </c>
      <c r="D13" s="4">
        <v>145.76874999999998</v>
      </c>
      <c r="E13" s="8"/>
      <c r="F13" t="str">
        <v>Adguard DNS Secondary DNS</v>
      </c>
      <c r="G13">
        <v>45.936250000000001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55000000000000004">
      <c r="A14" s="8"/>
      <c r="E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6" x14ac:dyDescent="0.55000000000000004">
      <c r="A15" s="8"/>
      <c r="B15" s="9" t="s">
        <v>54</v>
      </c>
      <c r="C15" s="9"/>
      <c r="D15" s="9"/>
      <c r="E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55000000000000004">
      <c r="A16" s="8"/>
      <c r="B16" s="7" t="s">
        <v>26</v>
      </c>
      <c r="C16" s="7" t="s">
        <v>27</v>
      </c>
      <c r="D16" s="7" t="s">
        <v>32</v>
      </c>
      <c r="E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55000000000000004">
      <c r="A17" s="8"/>
      <c r="B17" s="6">
        <v>1</v>
      </c>
      <c r="C17" s="6" t="str">
        <f>INDEX($C$2:$C$13, MATCH(B17, $B$2:$B$13, 0))</f>
        <v>Adguard DNS Secondary DNS</v>
      </c>
      <c r="D17" s="6" t="str">
        <f>INDEX('DNS Server from CSV'!$D$2:$D$13, MATCH(C17, 'DNS Server from CSV'!$E$2:$E$13, 0))</f>
        <v>94.140.15.15</v>
      </c>
      <c r="E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55000000000000004">
      <c r="A18" s="8"/>
      <c r="B18" s="3">
        <v>2</v>
      </c>
      <c r="C18" s="3" t="str">
        <f>INDEX($C$2:$C$13, MATCH(B18, $B$2:$B$13, 0))</f>
        <v>Cloudflare Secondary DNS</v>
      </c>
      <c r="D18" s="3" t="str">
        <f>INDEX('DNS Server from CSV'!$D$2:$D$13, MATCH(C18, 'DNS Server from CSV'!$E$2:$E$13, 0))</f>
        <v>1.0.0.1</v>
      </c>
      <c r="E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55000000000000004">
      <c r="A19" s="8"/>
      <c r="B19" s="3">
        <v>3</v>
      </c>
      <c r="C19" s="3" t="str">
        <f>INDEX($C$2:$C$13, MATCH(B19, $B$2:$B$13, 0))</f>
        <v>Cloudflare Primary DNS</v>
      </c>
      <c r="D19" s="3" t="str">
        <f>INDEX('DNS Server from CSV'!$D$2:$D$13, MATCH(C19, 'DNS Server from CSV'!$E$2:$E$13, 0))</f>
        <v>1.1.1.1</v>
      </c>
      <c r="E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55000000000000004">
      <c r="A20" s="8"/>
      <c r="B20" s="3">
        <v>4</v>
      </c>
      <c r="C20" s="3" t="str">
        <f>INDEX($C$2:$C$13, MATCH(B20, $B$2:$B$13, 0))</f>
        <v>NextDNS Secondary DNS</v>
      </c>
      <c r="D20" s="3" t="str">
        <f>INDEX('DNS Server from CSV'!$D$2:$D$13, MATCH(C20, 'DNS Server from CSV'!$E$2:$E$13, 0))</f>
        <v>45.90.30.232</v>
      </c>
      <c r="E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5500000000000000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5500000000000000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x14ac:dyDescent="0.5500000000000000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5500000000000000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x14ac:dyDescent="0.5500000000000000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x14ac:dyDescent="0.5500000000000000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x14ac:dyDescent="0.5500000000000000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x14ac:dyDescent="0.5500000000000000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5500000000000000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5500000000000000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5500000000000000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5500000000000000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5500000000000000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5500000000000000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5500000000000000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5500000000000000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5500000000000000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5500000000000000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5500000000000000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5500000000000000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5500000000000000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5500000000000000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5500000000000000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5500000000000000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5500000000000000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</sheetData>
  <mergeCells count="6">
    <mergeCell ref="O1:Z20"/>
    <mergeCell ref="A21:Z22"/>
    <mergeCell ref="A23:Z45"/>
    <mergeCell ref="B15:D15"/>
    <mergeCell ref="A1:A20"/>
    <mergeCell ref="E1:E2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BD7E-4E78-45F3-9BED-C5AED08F1281}">
  <dimension ref="A1:F97"/>
  <sheetViews>
    <sheetView workbookViewId="0">
      <selection activeCell="A2" sqref="A2"/>
    </sheetView>
  </sheetViews>
  <sheetFormatPr defaultRowHeight="14.4" x14ac:dyDescent="0.55000000000000004"/>
  <cols>
    <col min="1" max="1" width="23.578125" bestFit="1" customWidth="1"/>
    <col min="2" max="2" width="16.3125" bestFit="1" customWidth="1"/>
    <col min="3" max="3" width="64.68359375" bestFit="1" customWidth="1"/>
    <col min="4" max="4" width="12.5234375" bestFit="1" customWidth="1"/>
    <col min="5" max="5" width="17.20703125" bestFit="1" customWidth="1"/>
    <col min="6" max="6" width="15.15625" bestFit="1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 t="s">
        <v>7</v>
      </c>
      <c r="C2" t="s">
        <v>55</v>
      </c>
      <c r="D2" s="1">
        <v>46199</v>
      </c>
      <c r="E2">
        <v>10</v>
      </c>
      <c r="F2">
        <v>48.86</v>
      </c>
    </row>
    <row r="3" spans="1:6" x14ac:dyDescent="0.55000000000000004">
      <c r="A3" t="s">
        <v>6</v>
      </c>
      <c r="B3" t="s">
        <v>8</v>
      </c>
      <c r="C3" t="s">
        <v>56</v>
      </c>
      <c r="D3" s="1">
        <v>46199</v>
      </c>
      <c r="E3">
        <v>10</v>
      </c>
      <c r="F3">
        <v>46.68</v>
      </c>
    </row>
    <row r="4" spans="1:6" x14ac:dyDescent="0.55000000000000004">
      <c r="A4" t="s">
        <v>6</v>
      </c>
      <c r="B4" t="s">
        <v>9</v>
      </c>
      <c r="C4" t="s">
        <v>57</v>
      </c>
      <c r="D4" s="1">
        <v>46199</v>
      </c>
      <c r="E4">
        <v>10</v>
      </c>
      <c r="F4">
        <v>46.84</v>
      </c>
    </row>
    <row r="5" spans="1:6" x14ac:dyDescent="0.55000000000000004">
      <c r="A5" t="s">
        <v>6</v>
      </c>
      <c r="B5" t="s">
        <v>10</v>
      </c>
      <c r="C5" t="s">
        <v>58</v>
      </c>
      <c r="D5" s="1">
        <v>46199</v>
      </c>
      <c r="E5">
        <v>10</v>
      </c>
      <c r="F5">
        <v>68.56</v>
      </c>
    </row>
    <row r="6" spans="1:6" x14ac:dyDescent="0.55000000000000004">
      <c r="A6" t="s">
        <v>6</v>
      </c>
      <c r="B6" t="s">
        <v>11</v>
      </c>
      <c r="C6" t="s">
        <v>59</v>
      </c>
      <c r="D6" s="1">
        <v>46199</v>
      </c>
      <c r="E6">
        <v>10</v>
      </c>
      <c r="F6">
        <v>49.11</v>
      </c>
    </row>
    <row r="7" spans="1:6" x14ac:dyDescent="0.55000000000000004">
      <c r="A7" t="s">
        <v>6</v>
      </c>
      <c r="B7" t="s">
        <v>12</v>
      </c>
      <c r="C7" t="s">
        <v>60</v>
      </c>
      <c r="D7" s="1">
        <v>46199</v>
      </c>
      <c r="E7">
        <v>10</v>
      </c>
      <c r="F7">
        <v>47.73</v>
      </c>
    </row>
    <row r="8" spans="1:6" x14ac:dyDescent="0.55000000000000004">
      <c r="A8" t="s">
        <v>6</v>
      </c>
      <c r="B8" t="s">
        <v>13</v>
      </c>
      <c r="C8" t="s">
        <v>61</v>
      </c>
      <c r="D8" s="1">
        <v>46199</v>
      </c>
      <c r="E8">
        <v>10</v>
      </c>
      <c r="F8">
        <v>46.58</v>
      </c>
    </row>
    <row r="9" spans="1:6" x14ac:dyDescent="0.55000000000000004">
      <c r="A9" t="s">
        <v>6</v>
      </c>
      <c r="B9" t="s">
        <v>14</v>
      </c>
      <c r="C9" t="s">
        <v>62</v>
      </c>
      <c r="D9" s="1">
        <v>46199</v>
      </c>
      <c r="E9">
        <v>10</v>
      </c>
      <c r="F9">
        <v>46.67</v>
      </c>
    </row>
    <row r="10" spans="1:6" x14ac:dyDescent="0.55000000000000004">
      <c r="A10" t="s">
        <v>15</v>
      </c>
      <c r="B10" t="s">
        <v>7</v>
      </c>
      <c r="C10" t="s">
        <v>63</v>
      </c>
      <c r="D10" s="1">
        <v>46199</v>
      </c>
      <c r="E10">
        <v>10</v>
      </c>
      <c r="F10">
        <v>47.58</v>
      </c>
    </row>
    <row r="11" spans="1:6" x14ac:dyDescent="0.55000000000000004">
      <c r="A11" t="s">
        <v>15</v>
      </c>
      <c r="B11" t="s">
        <v>8</v>
      </c>
      <c r="C11" t="s">
        <v>64</v>
      </c>
      <c r="D11" s="1">
        <v>46199</v>
      </c>
      <c r="E11">
        <v>10</v>
      </c>
      <c r="F11">
        <v>46.69</v>
      </c>
    </row>
    <row r="12" spans="1:6" x14ac:dyDescent="0.55000000000000004">
      <c r="A12" t="s">
        <v>15</v>
      </c>
      <c r="B12" t="s">
        <v>9</v>
      </c>
      <c r="C12" t="s">
        <v>65</v>
      </c>
      <c r="D12" s="1">
        <v>46199</v>
      </c>
      <c r="E12">
        <v>10</v>
      </c>
      <c r="F12">
        <v>47.1</v>
      </c>
    </row>
    <row r="13" spans="1:6" x14ac:dyDescent="0.55000000000000004">
      <c r="A13" t="s">
        <v>15</v>
      </c>
      <c r="B13" t="s">
        <v>10</v>
      </c>
      <c r="C13" t="s">
        <v>66</v>
      </c>
      <c r="D13" s="1">
        <v>46199</v>
      </c>
      <c r="E13">
        <v>10</v>
      </c>
      <c r="F13">
        <v>57.95</v>
      </c>
    </row>
    <row r="14" spans="1:6" x14ac:dyDescent="0.55000000000000004">
      <c r="A14" t="s">
        <v>15</v>
      </c>
      <c r="B14" t="s">
        <v>11</v>
      </c>
      <c r="C14" t="s">
        <v>67</v>
      </c>
      <c r="D14" s="1">
        <v>46199</v>
      </c>
      <c r="E14">
        <v>10</v>
      </c>
      <c r="F14">
        <v>48.93</v>
      </c>
    </row>
    <row r="15" spans="1:6" x14ac:dyDescent="0.55000000000000004">
      <c r="A15" t="s">
        <v>15</v>
      </c>
      <c r="B15" t="s">
        <v>12</v>
      </c>
      <c r="C15" t="s">
        <v>68</v>
      </c>
      <c r="D15" s="1">
        <v>46199</v>
      </c>
      <c r="E15">
        <v>10</v>
      </c>
      <c r="F15">
        <v>46.99</v>
      </c>
    </row>
    <row r="16" spans="1:6" x14ac:dyDescent="0.55000000000000004">
      <c r="A16" t="s">
        <v>15</v>
      </c>
      <c r="B16" t="s">
        <v>13</v>
      </c>
      <c r="C16" t="s">
        <v>69</v>
      </c>
      <c r="D16" s="1">
        <v>46199</v>
      </c>
      <c r="E16">
        <v>10</v>
      </c>
      <c r="F16">
        <v>46.7</v>
      </c>
    </row>
    <row r="17" spans="1:6" x14ac:dyDescent="0.55000000000000004">
      <c r="A17" t="s">
        <v>15</v>
      </c>
      <c r="B17" t="s">
        <v>14</v>
      </c>
      <c r="C17" t="s">
        <v>70</v>
      </c>
      <c r="D17" s="1">
        <v>46199</v>
      </c>
      <c r="E17">
        <v>10</v>
      </c>
      <c r="F17">
        <v>48.3</v>
      </c>
    </row>
    <row r="18" spans="1:6" x14ac:dyDescent="0.55000000000000004">
      <c r="A18" t="s">
        <v>16</v>
      </c>
      <c r="B18" t="s">
        <v>7</v>
      </c>
      <c r="C18" t="s">
        <v>71</v>
      </c>
      <c r="D18" s="1">
        <v>46199</v>
      </c>
      <c r="E18">
        <v>10</v>
      </c>
      <c r="F18">
        <v>154.34</v>
      </c>
    </row>
    <row r="19" spans="1:6" x14ac:dyDescent="0.55000000000000004">
      <c r="A19" t="s">
        <v>16</v>
      </c>
      <c r="B19" t="s">
        <v>8</v>
      </c>
      <c r="C19" t="s">
        <v>72</v>
      </c>
      <c r="D19" s="1">
        <v>46199</v>
      </c>
      <c r="E19">
        <v>10</v>
      </c>
      <c r="F19">
        <v>139.4</v>
      </c>
    </row>
    <row r="20" spans="1:6" x14ac:dyDescent="0.55000000000000004">
      <c r="A20" t="s">
        <v>16</v>
      </c>
      <c r="B20" t="s">
        <v>9</v>
      </c>
      <c r="C20" t="s">
        <v>73</v>
      </c>
      <c r="D20" s="1">
        <v>46199</v>
      </c>
      <c r="E20">
        <v>10</v>
      </c>
      <c r="F20">
        <v>141.07</v>
      </c>
    </row>
    <row r="21" spans="1:6" x14ac:dyDescent="0.55000000000000004">
      <c r="A21" t="s">
        <v>16</v>
      </c>
      <c r="B21" t="s">
        <v>10</v>
      </c>
      <c r="C21" t="s">
        <v>74</v>
      </c>
      <c r="D21" s="1">
        <v>46199</v>
      </c>
      <c r="E21">
        <v>10</v>
      </c>
      <c r="F21">
        <v>174.32</v>
      </c>
    </row>
    <row r="22" spans="1:6" x14ac:dyDescent="0.55000000000000004">
      <c r="A22" t="s">
        <v>16</v>
      </c>
      <c r="B22" t="s">
        <v>11</v>
      </c>
      <c r="C22" t="s">
        <v>75</v>
      </c>
      <c r="D22" s="1">
        <v>46199</v>
      </c>
      <c r="E22">
        <v>10</v>
      </c>
      <c r="F22">
        <v>139.93</v>
      </c>
    </row>
    <row r="23" spans="1:6" x14ac:dyDescent="0.55000000000000004">
      <c r="A23" t="s">
        <v>16</v>
      </c>
      <c r="B23" t="s">
        <v>12</v>
      </c>
      <c r="C23" t="s">
        <v>76</v>
      </c>
      <c r="D23" s="1">
        <v>46199</v>
      </c>
      <c r="E23">
        <v>10</v>
      </c>
      <c r="F23">
        <v>138.85</v>
      </c>
    </row>
    <row r="24" spans="1:6" x14ac:dyDescent="0.55000000000000004">
      <c r="A24" t="s">
        <v>16</v>
      </c>
      <c r="B24" t="s">
        <v>13</v>
      </c>
      <c r="C24" t="s">
        <v>77</v>
      </c>
      <c r="D24" s="1">
        <v>46199</v>
      </c>
      <c r="E24">
        <v>10</v>
      </c>
      <c r="F24">
        <v>136.96</v>
      </c>
    </row>
    <row r="25" spans="1:6" x14ac:dyDescent="0.55000000000000004">
      <c r="A25" t="s">
        <v>16</v>
      </c>
      <c r="B25" t="s">
        <v>14</v>
      </c>
      <c r="C25" t="s">
        <v>78</v>
      </c>
      <c r="D25" s="1">
        <v>46199</v>
      </c>
      <c r="E25">
        <v>10</v>
      </c>
      <c r="F25">
        <v>141.28</v>
      </c>
    </row>
    <row r="26" spans="1:6" x14ac:dyDescent="0.55000000000000004">
      <c r="A26" t="s">
        <v>17</v>
      </c>
      <c r="B26" t="s">
        <v>7</v>
      </c>
      <c r="C26" t="s">
        <v>79</v>
      </c>
      <c r="D26" s="1">
        <v>46199</v>
      </c>
      <c r="E26">
        <v>10</v>
      </c>
      <c r="F26">
        <v>139.22999999999999</v>
      </c>
    </row>
    <row r="27" spans="1:6" x14ac:dyDescent="0.55000000000000004">
      <c r="A27" t="s">
        <v>17</v>
      </c>
      <c r="B27" t="s">
        <v>8</v>
      </c>
      <c r="C27" t="s">
        <v>80</v>
      </c>
      <c r="D27" s="1">
        <v>46199</v>
      </c>
      <c r="E27">
        <v>10</v>
      </c>
      <c r="F27">
        <v>137.58000000000001</v>
      </c>
    </row>
    <row r="28" spans="1:6" x14ac:dyDescent="0.55000000000000004">
      <c r="A28" t="s">
        <v>17</v>
      </c>
      <c r="B28" t="s">
        <v>9</v>
      </c>
      <c r="C28" t="s">
        <v>81</v>
      </c>
      <c r="D28" s="1">
        <v>46199</v>
      </c>
      <c r="E28">
        <v>10</v>
      </c>
      <c r="F28">
        <v>149.47</v>
      </c>
    </row>
    <row r="29" spans="1:6" x14ac:dyDescent="0.55000000000000004">
      <c r="A29" t="s">
        <v>17</v>
      </c>
      <c r="B29" t="s">
        <v>10</v>
      </c>
      <c r="C29" t="s">
        <v>82</v>
      </c>
      <c r="D29" s="1">
        <v>46199</v>
      </c>
      <c r="E29">
        <v>10</v>
      </c>
      <c r="F29">
        <v>137.91</v>
      </c>
    </row>
    <row r="30" spans="1:6" x14ac:dyDescent="0.55000000000000004">
      <c r="A30" t="s">
        <v>17</v>
      </c>
      <c r="B30" t="s">
        <v>11</v>
      </c>
      <c r="C30" t="s">
        <v>83</v>
      </c>
      <c r="D30" s="1">
        <v>46199</v>
      </c>
      <c r="E30">
        <v>10</v>
      </c>
      <c r="F30">
        <v>138.62</v>
      </c>
    </row>
    <row r="31" spans="1:6" x14ac:dyDescent="0.55000000000000004">
      <c r="A31" t="s">
        <v>17</v>
      </c>
      <c r="B31" t="s">
        <v>12</v>
      </c>
      <c r="C31" t="s">
        <v>84</v>
      </c>
      <c r="D31" s="1">
        <v>46199</v>
      </c>
      <c r="E31">
        <v>10</v>
      </c>
      <c r="F31">
        <v>137.66999999999999</v>
      </c>
    </row>
    <row r="32" spans="1:6" x14ac:dyDescent="0.55000000000000004">
      <c r="A32" t="s">
        <v>17</v>
      </c>
      <c r="B32" t="s">
        <v>13</v>
      </c>
      <c r="C32" t="s">
        <v>85</v>
      </c>
      <c r="D32" s="1">
        <v>46199</v>
      </c>
      <c r="E32">
        <v>10</v>
      </c>
      <c r="F32">
        <v>137.15</v>
      </c>
    </row>
    <row r="33" spans="1:6" x14ac:dyDescent="0.55000000000000004">
      <c r="A33" t="s">
        <v>17</v>
      </c>
      <c r="B33" t="s">
        <v>14</v>
      </c>
      <c r="C33" t="s">
        <v>86</v>
      </c>
      <c r="D33" s="1">
        <v>46199</v>
      </c>
      <c r="E33">
        <v>10</v>
      </c>
      <c r="F33">
        <v>137.82</v>
      </c>
    </row>
    <row r="34" spans="1:6" x14ac:dyDescent="0.55000000000000004">
      <c r="A34" t="s">
        <v>18</v>
      </c>
      <c r="B34" t="s">
        <v>7</v>
      </c>
      <c r="C34" t="s">
        <v>87</v>
      </c>
      <c r="D34" s="1">
        <v>46199</v>
      </c>
      <c r="E34">
        <v>10</v>
      </c>
      <c r="F34">
        <v>125.41</v>
      </c>
    </row>
    <row r="35" spans="1:6" x14ac:dyDescent="0.55000000000000004">
      <c r="A35" t="s">
        <v>18</v>
      </c>
      <c r="B35" t="s">
        <v>8</v>
      </c>
      <c r="C35" t="s">
        <v>88</v>
      </c>
      <c r="D35" s="1">
        <v>46199</v>
      </c>
      <c r="E35">
        <v>10</v>
      </c>
      <c r="F35">
        <v>125.31</v>
      </c>
    </row>
    <row r="36" spans="1:6" x14ac:dyDescent="0.55000000000000004">
      <c r="A36" t="s">
        <v>18</v>
      </c>
      <c r="B36" t="s">
        <v>9</v>
      </c>
      <c r="C36" t="s">
        <v>89</v>
      </c>
      <c r="D36" s="1">
        <v>46199</v>
      </c>
      <c r="E36">
        <v>10</v>
      </c>
      <c r="F36">
        <v>129.68</v>
      </c>
    </row>
    <row r="37" spans="1:6" x14ac:dyDescent="0.55000000000000004">
      <c r="A37" t="s">
        <v>18</v>
      </c>
      <c r="B37" t="s">
        <v>10</v>
      </c>
      <c r="C37" t="s">
        <v>90</v>
      </c>
      <c r="D37" s="1">
        <v>46199</v>
      </c>
      <c r="E37">
        <v>10</v>
      </c>
      <c r="F37">
        <v>192.42</v>
      </c>
    </row>
    <row r="38" spans="1:6" x14ac:dyDescent="0.55000000000000004">
      <c r="A38" t="s">
        <v>18</v>
      </c>
      <c r="B38" t="s">
        <v>11</v>
      </c>
      <c r="C38" t="s">
        <v>91</v>
      </c>
      <c r="D38" s="1">
        <v>46199</v>
      </c>
      <c r="E38">
        <v>10</v>
      </c>
      <c r="F38">
        <v>146.83000000000001</v>
      </c>
    </row>
    <row r="39" spans="1:6" x14ac:dyDescent="0.55000000000000004">
      <c r="A39" t="s">
        <v>18</v>
      </c>
      <c r="B39" t="s">
        <v>12</v>
      </c>
      <c r="C39" t="s">
        <v>92</v>
      </c>
      <c r="D39" s="1">
        <v>46199</v>
      </c>
      <c r="E39">
        <v>10</v>
      </c>
      <c r="F39">
        <v>127.16</v>
      </c>
    </row>
    <row r="40" spans="1:6" x14ac:dyDescent="0.55000000000000004">
      <c r="A40" t="s">
        <v>18</v>
      </c>
      <c r="B40" t="s">
        <v>13</v>
      </c>
      <c r="C40" t="s">
        <v>93</v>
      </c>
      <c r="D40" s="1">
        <v>46199</v>
      </c>
      <c r="E40">
        <v>10</v>
      </c>
      <c r="F40">
        <v>127.22</v>
      </c>
    </row>
    <row r="41" spans="1:6" x14ac:dyDescent="0.55000000000000004">
      <c r="A41" t="s">
        <v>18</v>
      </c>
      <c r="B41" t="s">
        <v>14</v>
      </c>
      <c r="C41" t="s">
        <v>94</v>
      </c>
      <c r="D41" s="1">
        <v>46199</v>
      </c>
      <c r="E41">
        <v>10</v>
      </c>
      <c r="F41">
        <v>132.54</v>
      </c>
    </row>
    <row r="42" spans="1:6" x14ac:dyDescent="0.55000000000000004">
      <c r="A42" t="s">
        <v>19</v>
      </c>
      <c r="B42" t="s">
        <v>7</v>
      </c>
      <c r="C42" t="s">
        <v>95</v>
      </c>
      <c r="D42" s="1">
        <v>46199</v>
      </c>
      <c r="E42">
        <v>10</v>
      </c>
      <c r="F42">
        <v>126.39</v>
      </c>
    </row>
    <row r="43" spans="1:6" x14ac:dyDescent="0.55000000000000004">
      <c r="A43" t="s">
        <v>19</v>
      </c>
      <c r="B43" t="s">
        <v>8</v>
      </c>
      <c r="C43" t="s">
        <v>96</v>
      </c>
      <c r="D43" s="1">
        <v>46199</v>
      </c>
      <c r="E43">
        <v>10</v>
      </c>
      <c r="F43">
        <v>126.79</v>
      </c>
    </row>
    <row r="44" spans="1:6" x14ac:dyDescent="0.55000000000000004">
      <c r="A44" t="s">
        <v>19</v>
      </c>
      <c r="B44" t="s">
        <v>9</v>
      </c>
      <c r="C44" t="s">
        <v>97</v>
      </c>
      <c r="D44" s="1">
        <v>46199</v>
      </c>
      <c r="E44">
        <v>10</v>
      </c>
      <c r="F44">
        <v>126.31</v>
      </c>
    </row>
    <row r="45" spans="1:6" x14ac:dyDescent="0.55000000000000004">
      <c r="A45" t="s">
        <v>19</v>
      </c>
      <c r="B45" t="s">
        <v>10</v>
      </c>
      <c r="C45" t="s">
        <v>98</v>
      </c>
      <c r="D45" s="1">
        <v>46199</v>
      </c>
      <c r="E45">
        <v>10</v>
      </c>
      <c r="F45">
        <v>126.22</v>
      </c>
    </row>
    <row r="46" spans="1:6" x14ac:dyDescent="0.55000000000000004">
      <c r="A46" t="s">
        <v>19</v>
      </c>
      <c r="B46" t="s">
        <v>11</v>
      </c>
      <c r="C46" t="s">
        <v>99</v>
      </c>
      <c r="D46" s="1">
        <v>46199</v>
      </c>
      <c r="E46">
        <v>10</v>
      </c>
      <c r="F46">
        <v>126.8</v>
      </c>
    </row>
    <row r="47" spans="1:6" x14ac:dyDescent="0.55000000000000004">
      <c r="A47" t="s">
        <v>19</v>
      </c>
      <c r="B47" t="s">
        <v>12</v>
      </c>
      <c r="C47" t="s">
        <v>100</v>
      </c>
      <c r="D47" s="1">
        <v>46199</v>
      </c>
      <c r="E47">
        <v>10</v>
      </c>
      <c r="F47">
        <v>138.19</v>
      </c>
    </row>
    <row r="48" spans="1:6" x14ac:dyDescent="0.55000000000000004">
      <c r="A48" t="s">
        <v>19</v>
      </c>
      <c r="B48" t="s">
        <v>13</v>
      </c>
      <c r="C48" t="s">
        <v>101</v>
      </c>
      <c r="D48" s="1">
        <v>46199</v>
      </c>
      <c r="E48">
        <v>10</v>
      </c>
      <c r="F48">
        <v>125.95</v>
      </c>
    </row>
    <row r="49" spans="1:6" x14ac:dyDescent="0.55000000000000004">
      <c r="A49" t="s">
        <v>19</v>
      </c>
      <c r="B49" t="s">
        <v>14</v>
      </c>
      <c r="C49" t="s">
        <v>102</v>
      </c>
      <c r="D49" s="1">
        <v>46199</v>
      </c>
      <c r="E49">
        <v>10</v>
      </c>
      <c r="F49">
        <v>126.49</v>
      </c>
    </row>
    <row r="50" spans="1:6" x14ac:dyDescent="0.55000000000000004">
      <c r="A50" t="s">
        <v>20</v>
      </c>
      <c r="B50" t="s">
        <v>7</v>
      </c>
      <c r="C50" t="s">
        <v>103</v>
      </c>
      <c r="D50" s="1">
        <v>46199</v>
      </c>
      <c r="E50">
        <v>10</v>
      </c>
      <c r="F50">
        <v>46.58</v>
      </c>
    </row>
    <row r="51" spans="1:6" x14ac:dyDescent="0.55000000000000004">
      <c r="A51" t="s">
        <v>20</v>
      </c>
      <c r="B51" t="s">
        <v>8</v>
      </c>
      <c r="C51" t="s">
        <v>104</v>
      </c>
      <c r="D51" s="1">
        <v>46199</v>
      </c>
      <c r="E51">
        <v>10</v>
      </c>
      <c r="F51">
        <v>46.41</v>
      </c>
    </row>
    <row r="52" spans="1:6" x14ac:dyDescent="0.55000000000000004">
      <c r="A52" t="s">
        <v>20</v>
      </c>
      <c r="B52" t="s">
        <v>9</v>
      </c>
      <c r="C52" t="s">
        <v>105</v>
      </c>
      <c r="D52" s="1">
        <v>46199</v>
      </c>
      <c r="E52">
        <v>10</v>
      </c>
      <c r="F52">
        <v>49.1</v>
      </c>
    </row>
    <row r="53" spans="1:6" x14ac:dyDescent="0.55000000000000004">
      <c r="A53" t="s">
        <v>20</v>
      </c>
      <c r="B53" t="s">
        <v>10</v>
      </c>
      <c r="C53" t="s">
        <v>106</v>
      </c>
      <c r="D53" s="1">
        <v>46199</v>
      </c>
      <c r="E53">
        <v>10</v>
      </c>
      <c r="F53">
        <v>145.72</v>
      </c>
    </row>
    <row r="54" spans="1:6" x14ac:dyDescent="0.55000000000000004">
      <c r="A54" t="s">
        <v>20</v>
      </c>
      <c r="B54" t="s">
        <v>11</v>
      </c>
      <c r="C54" t="s">
        <v>107</v>
      </c>
      <c r="D54" s="1">
        <v>46199</v>
      </c>
      <c r="E54">
        <v>10</v>
      </c>
      <c r="F54">
        <v>60.09</v>
      </c>
    </row>
    <row r="55" spans="1:6" x14ac:dyDescent="0.55000000000000004">
      <c r="A55" t="s">
        <v>20</v>
      </c>
      <c r="B55" t="s">
        <v>12</v>
      </c>
      <c r="C55" t="s">
        <v>108</v>
      </c>
      <c r="D55" s="1">
        <v>46199</v>
      </c>
      <c r="E55">
        <v>10</v>
      </c>
      <c r="F55">
        <v>53.88</v>
      </c>
    </row>
    <row r="56" spans="1:6" x14ac:dyDescent="0.55000000000000004">
      <c r="A56" t="s">
        <v>20</v>
      </c>
      <c r="B56" t="s">
        <v>13</v>
      </c>
      <c r="C56" t="s">
        <v>109</v>
      </c>
      <c r="D56" s="1">
        <v>46199</v>
      </c>
      <c r="E56">
        <v>10</v>
      </c>
      <c r="F56">
        <v>47.06</v>
      </c>
    </row>
    <row r="57" spans="1:6" x14ac:dyDescent="0.55000000000000004">
      <c r="A57" t="s">
        <v>20</v>
      </c>
      <c r="B57" t="s">
        <v>14</v>
      </c>
      <c r="C57" t="s">
        <v>110</v>
      </c>
      <c r="D57" s="1">
        <v>46199</v>
      </c>
      <c r="E57">
        <v>10</v>
      </c>
      <c r="F57">
        <v>148.91999999999999</v>
      </c>
    </row>
    <row r="58" spans="1:6" x14ac:dyDescent="0.55000000000000004">
      <c r="A58" t="s">
        <v>21</v>
      </c>
      <c r="B58" t="s">
        <v>7</v>
      </c>
      <c r="C58" t="s">
        <v>111</v>
      </c>
      <c r="D58" s="1">
        <v>46199</v>
      </c>
      <c r="E58">
        <v>10</v>
      </c>
      <c r="F58">
        <v>59.39</v>
      </c>
    </row>
    <row r="59" spans="1:6" x14ac:dyDescent="0.55000000000000004">
      <c r="A59" t="s">
        <v>21</v>
      </c>
      <c r="B59" t="s">
        <v>8</v>
      </c>
      <c r="C59" t="s">
        <v>112</v>
      </c>
      <c r="D59" s="1">
        <v>46199</v>
      </c>
      <c r="E59">
        <v>10</v>
      </c>
      <c r="F59">
        <v>46.41</v>
      </c>
    </row>
    <row r="60" spans="1:6" x14ac:dyDescent="0.55000000000000004">
      <c r="A60" t="s">
        <v>21</v>
      </c>
      <c r="B60" t="s">
        <v>9</v>
      </c>
      <c r="C60" t="s">
        <v>113</v>
      </c>
      <c r="D60" s="1">
        <v>46199</v>
      </c>
      <c r="E60">
        <v>10</v>
      </c>
      <c r="F60">
        <v>46.23</v>
      </c>
    </row>
    <row r="61" spans="1:6" x14ac:dyDescent="0.55000000000000004">
      <c r="A61" t="s">
        <v>21</v>
      </c>
      <c r="B61" t="s">
        <v>10</v>
      </c>
      <c r="C61" t="s">
        <v>114</v>
      </c>
      <c r="D61" s="1">
        <v>46199</v>
      </c>
      <c r="E61">
        <v>10</v>
      </c>
      <c r="F61">
        <v>52.6</v>
      </c>
    </row>
    <row r="62" spans="1:6" x14ac:dyDescent="0.55000000000000004">
      <c r="A62" t="s">
        <v>21</v>
      </c>
      <c r="B62" t="s">
        <v>11</v>
      </c>
      <c r="C62" t="s">
        <v>115</v>
      </c>
      <c r="D62" s="1">
        <v>46199</v>
      </c>
      <c r="E62">
        <v>10</v>
      </c>
      <c r="F62">
        <v>68.36</v>
      </c>
    </row>
    <row r="63" spans="1:6" x14ac:dyDescent="0.55000000000000004">
      <c r="A63" t="s">
        <v>21</v>
      </c>
      <c r="B63" t="s">
        <v>12</v>
      </c>
      <c r="C63" t="s">
        <v>116</v>
      </c>
      <c r="D63" s="1">
        <v>46199</v>
      </c>
      <c r="E63">
        <v>10</v>
      </c>
      <c r="F63">
        <v>47.3</v>
      </c>
    </row>
    <row r="64" spans="1:6" x14ac:dyDescent="0.55000000000000004">
      <c r="A64" t="s">
        <v>21</v>
      </c>
      <c r="B64" t="s">
        <v>13</v>
      </c>
      <c r="C64" t="s">
        <v>117</v>
      </c>
      <c r="D64" s="1">
        <v>46199</v>
      </c>
      <c r="E64">
        <v>10</v>
      </c>
      <c r="F64">
        <v>47.99</v>
      </c>
    </row>
    <row r="65" spans="1:6" x14ac:dyDescent="0.55000000000000004">
      <c r="A65" t="s">
        <v>21</v>
      </c>
      <c r="B65" t="s">
        <v>14</v>
      </c>
      <c r="C65" t="s">
        <v>118</v>
      </c>
      <c r="D65" s="1">
        <v>46199</v>
      </c>
      <c r="E65">
        <v>10</v>
      </c>
      <c r="F65">
        <v>155.03</v>
      </c>
    </row>
    <row r="66" spans="1:6" x14ac:dyDescent="0.55000000000000004">
      <c r="A66" t="s">
        <v>22</v>
      </c>
      <c r="B66" t="s">
        <v>7</v>
      </c>
      <c r="C66" t="s">
        <v>119</v>
      </c>
      <c r="D66" s="1">
        <v>46199</v>
      </c>
      <c r="E66">
        <v>10</v>
      </c>
      <c r="F66">
        <v>64.58</v>
      </c>
    </row>
    <row r="67" spans="1:6" x14ac:dyDescent="0.55000000000000004">
      <c r="A67" t="s">
        <v>22</v>
      </c>
      <c r="B67" t="s">
        <v>8</v>
      </c>
      <c r="C67" t="s">
        <v>120</v>
      </c>
      <c r="D67" s="1">
        <v>46199</v>
      </c>
      <c r="E67">
        <v>10</v>
      </c>
      <c r="F67">
        <v>59.16</v>
      </c>
    </row>
    <row r="68" spans="1:6" x14ac:dyDescent="0.55000000000000004">
      <c r="A68" t="s">
        <v>22</v>
      </c>
      <c r="B68" t="s">
        <v>9</v>
      </c>
      <c r="C68" t="s">
        <v>121</v>
      </c>
      <c r="D68" s="1">
        <v>46199</v>
      </c>
      <c r="E68">
        <v>10</v>
      </c>
      <c r="F68">
        <v>67.650000000000006</v>
      </c>
    </row>
    <row r="69" spans="1:6" x14ac:dyDescent="0.55000000000000004">
      <c r="A69" t="s">
        <v>22</v>
      </c>
      <c r="B69" t="s">
        <v>10</v>
      </c>
      <c r="C69" t="s">
        <v>122</v>
      </c>
      <c r="D69" s="1">
        <v>46199</v>
      </c>
      <c r="E69">
        <v>10</v>
      </c>
      <c r="F69">
        <v>196.78</v>
      </c>
    </row>
    <row r="70" spans="1:6" x14ac:dyDescent="0.55000000000000004">
      <c r="A70" t="s">
        <v>22</v>
      </c>
      <c r="B70" t="s">
        <v>11</v>
      </c>
      <c r="C70" t="s">
        <v>123</v>
      </c>
      <c r="D70" s="1">
        <v>46199</v>
      </c>
      <c r="E70">
        <v>10</v>
      </c>
      <c r="F70">
        <v>212.52</v>
      </c>
    </row>
    <row r="71" spans="1:6" x14ac:dyDescent="0.55000000000000004">
      <c r="A71" t="s">
        <v>22</v>
      </c>
      <c r="B71" t="s">
        <v>12</v>
      </c>
      <c r="C71" t="s">
        <v>124</v>
      </c>
      <c r="D71" s="1">
        <v>46199</v>
      </c>
      <c r="E71">
        <v>10</v>
      </c>
      <c r="F71">
        <v>64.05</v>
      </c>
    </row>
    <row r="72" spans="1:6" x14ac:dyDescent="0.55000000000000004">
      <c r="A72" t="s">
        <v>22</v>
      </c>
      <c r="B72" t="s">
        <v>13</v>
      </c>
      <c r="C72" t="s">
        <v>125</v>
      </c>
      <c r="D72" s="1">
        <v>46199</v>
      </c>
      <c r="E72">
        <v>10</v>
      </c>
      <c r="F72">
        <v>45.51</v>
      </c>
    </row>
    <row r="73" spans="1:6" x14ac:dyDescent="0.55000000000000004">
      <c r="A73" t="s">
        <v>22</v>
      </c>
      <c r="B73" t="s">
        <v>14</v>
      </c>
      <c r="C73" t="s">
        <v>126</v>
      </c>
      <c r="D73" s="1">
        <v>46199</v>
      </c>
      <c r="E73">
        <v>10</v>
      </c>
      <c r="F73">
        <v>70.3</v>
      </c>
    </row>
    <row r="74" spans="1:6" x14ac:dyDescent="0.55000000000000004">
      <c r="A74" t="s">
        <v>23</v>
      </c>
      <c r="B74" t="s">
        <v>7</v>
      </c>
      <c r="C74" t="s">
        <v>127</v>
      </c>
      <c r="D74" s="1">
        <v>46199</v>
      </c>
      <c r="E74">
        <v>10</v>
      </c>
      <c r="F74">
        <v>52.66</v>
      </c>
    </row>
    <row r="75" spans="1:6" x14ac:dyDescent="0.55000000000000004">
      <c r="A75" t="s">
        <v>23</v>
      </c>
      <c r="B75" t="s">
        <v>8</v>
      </c>
      <c r="C75" t="s">
        <v>128</v>
      </c>
      <c r="D75" s="1">
        <v>46199</v>
      </c>
      <c r="E75">
        <v>10</v>
      </c>
      <c r="F75">
        <v>54.83</v>
      </c>
    </row>
    <row r="76" spans="1:6" x14ac:dyDescent="0.55000000000000004">
      <c r="A76" t="s">
        <v>23</v>
      </c>
      <c r="B76" t="s">
        <v>9</v>
      </c>
      <c r="C76" t="s">
        <v>129</v>
      </c>
      <c r="D76" s="1">
        <v>46199</v>
      </c>
      <c r="E76">
        <v>10</v>
      </c>
      <c r="F76">
        <v>75.48</v>
      </c>
    </row>
    <row r="77" spans="1:6" x14ac:dyDescent="0.55000000000000004">
      <c r="A77" t="s">
        <v>23</v>
      </c>
      <c r="B77" t="s">
        <v>10</v>
      </c>
      <c r="C77" t="s">
        <v>130</v>
      </c>
      <c r="D77" s="1">
        <v>46199</v>
      </c>
      <c r="E77">
        <v>10</v>
      </c>
      <c r="F77">
        <v>127.8</v>
      </c>
    </row>
    <row r="78" spans="1:6" x14ac:dyDescent="0.55000000000000004">
      <c r="A78" t="s">
        <v>23</v>
      </c>
      <c r="B78" t="s">
        <v>11</v>
      </c>
      <c r="C78" t="s">
        <v>131</v>
      </c>
      <c r="D78" s="1">
        <v>46199</v>
      </c>
      <c r="E78">
        <v>10</v>
      </c>
      <c r="F78">
        <v>68.16</v>
      </c>
    </row>
    <row r="79" spans="1:6" x14ac:dyDescent="0.55000000000000004">
      <c r="A79" t="s">
        <v>23</v>
      </c>
      <c r="B79" t="s">
        <v>12</v>
      </c>
      <c r="C79" t="s">
        <v>132</v>
      </c>
      <c r="D79" s="1">
        <v>46199</v>
      </c>
      <c r="E79">
        <v>10</v>
      </c>
      <c r="F79">
        <v>46.85</v>
      </c>
    </row>
    <row r="80" spans="1:6" x14ac:dyDescent="0.55000000000000004">
      <c r="A80" t="s">
        <v>23</v>
      </c>
      <c r="B80" t="s">
        <v>13</v>
      </c>
      <c r="C80" t="s">
        <v>133</v>
      </c>
      <c r="D80" s="1">
        <v>46199</v>
      </c>
      <c r="E80">
        <v>10</v>
      </c>
      <c r="F80">
        <v>46.63</v>
      </c>
    </row>
    <row r="81" spans="1:6" x14ac:dyDescent="0.55000000000000004">
      <c r="A81" t="s">
        <v>23</v>
      </c>
      <c r="B81" t="s">
        <v>14</v>
      </c>
      <c r="C81" t="s">
        <v>134</v>
      </c>
      <c r="D81" s="1">
        <v>46199</v>
      </c>
      <c r="E81">
        <v>10</v>
      </c>
      <c r="F81">
        <v>52.9</v>
      </c>
    </row>
    <row r="82" spans="1:6" x14ac:dyDescent="0.55000000000000004">
      <c r="A82" t="s">
        <v>24</v>
      </c>
      <c r="B82" t="s">
        <v>7</v>
      </c>
      <c r="C82" t="s">
        <v>135</v>
      </c>
      <c r="D82" s="1">
        <v>46199</v>
      </c>
      <c r="E82">
        <v>10</v>
      </c>
      <c r="F82">
        <v>90.66</v>
      </c>
    </row>
    <row r="83" spans="1:6" x14ac:dyDescent="0.55000000000000004">
      <c r="A83" t="s">
        <v>24</v>
      </c>
      <c r="B83" t="s">
        <v>8</v>
      </c>
      <c r="C83" t="s">
        <v>136</v>
      </c>
      <c r="D83" s="1">
        <v>46199</v>
      </c>
      <c r="E83">
        <v>10</v>
      </c>
      <c r="F83">
        <v>48.55</v>
      </c>
    </row>
    <row r="84" spans="1:6" x14ac:dyDescent="0.55000000000000004">
      <c r="A84" t="s">
        <v>24</v>
      </c>
      <c r="B84" t="s">
        <v>9</v>
      </c>
      <c r="C84" t="s">
        <v>137</v>
      </c>
      <c r="D84" s="1">
        <v>46199</v>
      </c>
      <c r="E84">
        <v>10</v>
      </c>
      <c r="F84">
        <v>80.22</v>
      </c>
    </row>
    <row r="85" spans="1:6" x14ac:dyDescent="0.55000000000000004">
      <c r="A85" t="s">
        <v>24</v>
      </c>
      <c r="B85" t="s">
        <v>10</v>
      </c>
      <c r="C85" t="s">
        <v>138</v>
      </c>
      <c r="D85" s="1">
        <v>46199</v>
      </c>
      <c r="E85">
        <v>10</v>
      </c>
      <c r="F85">
        <v>56.72</v>
      </c>
    </row>
    <row r="86" spans="1:6" x14ac:dyDescent="0.55000000000000004">
      <c r="A86" t="s">
        <v>24</v>
      </c>
      <c r="B86" t="s">
        <v>11</v>
      </c>
      <c r="C86" t="s">
        <v>139</v>
      </c>
      <c r="D86" s="1">
        <v>46199</v>
      </c>
      <c r="E86">
        <v>10</v>
      </c>
      <c r="F86">
        <v>135.97</v>
      </c>
    </row>
    <row r="87" spans="1:6" x14ac:dyDescent="0.55000000000000004">
      <c r="A87" t="s">
        <v>24</v>
      </c>
      <c r="B87" t="s">
        <v>12</v>
      </c>
      <c r="C87" t="s">
        <v>140</v>
      </c>
      <c r="D87" s="1">
        <v>46199</v>
      </c>
      <c r="E87">
        <v>10</v>
      </c>
      <c r="F87">
        <v>57.33</v>
      </c>
    </row>
    <row r="88" spans="1:6" x14ac:dyDescent="0.55000000000000004">
      <c r="A88" t="s">
        <v>24</v>
      </c>
      <c r="B88" t="s">
        <v>13</v>
      </c>
      <c r="C88" t="s">
        <v>141</v>
      </c>
      <c r="D88" s="1">
        <v>46199</v>
      </c>
      <c r="E88">
        <v>10</v>
      </c>
      <c r="F88">
        <v>45.34</v>
      </c>
    </row>
    <row r="89" spans="1:6" x14ac:dyDescent="0.55000000000000004">
      <c r="A89" t="s">
        <v>24</v>
      </c>
      <c r="B89" t="s">
        <v>14</v>
      </c>
      <c r="C89" t="s">
        <v>142</v>
      </c>
      <c r="D89" s="1">
        <v>46199</v>
      </c>
      <c r="E89">
        <v>10</v>
      </c>
      <c r="F89">
        <v>68.7</v>
      </c>
    </row>
    <row r="90" spans="1:6" x14ac:dyDescent="0.55000000000000004">
      <c r="A90" t="s">
        <v>25</v>
      </c>
      <c r="B90" t="s">
        <v>7</v>
      </c>
      <c r="C90" t="s">
        <v>143</v>
      </c>
      <c r="D90" s="1">
        <v>46199</v>
      </c>
      <c r="E90">
        <v>10</v>
      </c>
      <c r="F90">
        <v>45.98</v>
      </c>
    </row>
    <row r="91" spans="1:6" x14ac:dyDescent="0.55000000000000004">
      <c r="A91" t="s">
        <v>25</v>
      </c>
      <c r="B91" t="s">
        <v>8</v>
      </c>
      <c r="C91" t="s">
        <v>144</v>
      </c>
      <c r="D91" s="1">
        <v>46199</v>
      </c>
      <c r="E91">
        <v>10</v>
      </c>
      <c r="F91">
        <v>46.34</v>
      </c>
    </row>
    <row r="92" spans="1:6" x14ac:dyDescent="0.55000000000000004">
      <c r="A92" t="s">
        <v>25</v>
      </c>
      <c r="B92" t="s">
        <v>9</v>
      </c>
      <c r="C92" t="s">
        <v>145</v>
      </c>
      <c r="D92" s="1">
        <v>46199</v>
      </c>
      <c r="E92">
        <v>10</v>
      </c>
      <c r="F92">
        <v>46.16</v>
      </c>
    </row>
    <row r="93" spans="1:6" x14ac:dyDescent="0.55000000000000004">
      <c r="A93" t="s">
        <v>25</v>
      </c>
      <c r="B93" t="s">
        <v>10</v>
      </c>
      <c r="C93" t="s">
        <v>146</v>
      </c>
      <c r="D93" s="1">
        <v>46199</v>
      </c>
      <c r="E93">
        <v>10</v>
      </c>
      <c r="F93">
        <v>45.94</v>
      </c>
    </row>
    <row r="94" spans="1:6" x14ac:dyDescent="0.55000000000000004">
      <c r="A94" t="s">
        <v>25</v>
      </c>
      <c r="B94" t="s">
        <v>11</v>
      </c>
      <c r="C94" t="s">
        <v>147</v>
      </c>
      <c r="D94" s="1">
        <v>46199</v>
      </c>
      <c r="E94">
        <v>10</v>
      </c>
      <c r="F94">
        <v>45.82</v>
      </c>
    </row>
    <row r="95" spans="1:6" x14ac:dyDescent="0.55000000000000004">
      <c r="A95" t="s">
        <v>25</v>
      </c>
      <c r="B95" t="s">
        <v>12</v>
      </c>
      <c r="C95" t="s">
        <v>148</v>
      </c>
      <c r="D95" s="1">
        <v>46199</v>
      </c>
      <c r="E95">
        <v>10</v>
      </c>
      <c r="F95">
        <v>45.2</v>
      </c>
    </row>
    <row r="96" spans="1:6" x14ac:dyDescent="0.55000000000000004">
      <c r="A96" t="s">
        <v>25</v>
      </c>
      <c r="B96" t="s">
        <v>13</v>
      </c>
      <c r="C96" t="s">
        <v>149</v>
      </c>
      <c r="D96" s="1">
        <v>46199</v>
      </c>
      <c r="E96">
        <v>10</v>
      </c>
      <c r="F96">
        <v>45.64</v>
      </c>
    </row>
    <row r="97" spans="1:6" x14ac:dyDescent="0.55000000000000004">
      <c r="A97" t="s">
        <v>25</v>
      </c>
      <c r="B97" t="s">
        <v>14</v>
      </c>
      <c r="C97" t="s">
        <v>150</v>
      </c>
      <c r="D97" s="1">
        <v>46199</v>
      </c>
      <c r="E97">
        <v>10</v>
      </c>
      <c r="F97">
        <v>46.41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E648-26F7-49E8-B890-CBA423862295}">
  <dimension ref="A1:E13"/>
  <sheetViews>
    <sheetView workbookViewId="0">
      <selection activeCell="H5" sqref="H5"/>
    </sheetView>
  </sheetViews>
  <sheetFormatPr defaultRowHeight="14.4" x14ac:dyDescent="0.55000000000000004"/>
  <cols>
    <col min="1" max="1" width="4.62890625" bestFit="1" customWidth="1"/>
    <col min="2" max="2" width="11" bestFit="1" customWidth="1"/>
    <col min="3" max="3" width="7.734375" bestFit="1" customWidth="1"/>
    <col min="4" max="4" width="14.3125" bestFit="1" customWidth="1"/>
    <col min="5" max="5" width="23.578125" bestFit="1" customWidth="1"/>
  </cols>
  <sheetData>
    <row r="1" spans="1:5" x14ac:dyDescent="0.55000000000000004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 x14ac:dyDescent="0.55000000000000004">
      <c r="A2">
        <v>1</v>
      </c>
      <c r="B2" t="s">
        <v>34</v>
      </c>
      <c r="C2" t="s">
        <v>35</v>
      </c>
      <c r="D2" t="s">
        <v>36</v>
      </c>
      <c r="E2" t="s">
        <v>6</v>
      </c>
    </row>
    <row r="3" spans="1:5" x14ac:dyDescent="0.55000000000000004">
      <c r="A3">
        <v>2</v>
      </c>
      <c r="B3" t="s">
        <v>34</v>
      </c>
      <c r="C3" t="s">
        <v>37</v>
      </c>
      <c r="D3" t="s">
        <v>38</v>
      </c>
      <c r="E3" t="s">
        <v>15</v>
      </c>
    </row>
    <row r="4" spans="1:5" x14ac:dyDescent="0.55000000000000004">
      <c r="A4">
        <v>3</v>
      </c>
      <c r="B4" t="s">
        <v>39</v>
      </c>
      <c r="C4" t="s">
        <v>35</v>
      </c>
      <c r="D4" t="s">
        <v>40</v>
      </c>
      <c r="E4" t="s">
        <v>16</v>
      </c>
    </row>
    <row r="5" spans="1:5" x14ac:dyDescent="0.55000000000000004">
      <c r="A5">
        <v>4</v>
      </c>
      <c r="B5" t="s">
        <v>39</v>
      </c>
      <c r="C5" t="s">
        <v>37</v>
      </c>
      <c r="D5" t="s">
        <v>41</v>
      </c>
      <c r="E5" t="s">
        <v>17</v>
      </c>
    </row>
    <row r="6" spans="1:5" x14ac:dyDescent="0.55000000000000004">
      <c r="A6">
        <v>5</v>
      </c>
      <c r="B6" t="s">
        <v>42</v>
      </c>
      <c r="C6" t="s">
        <v>35</v>
      </c>
      <c r="D6" t="s">
        <v>43</v>
      </c>
      <c r="E6" t="s">
        <v>18</v>
      </c>
    </row>
    <row r="7" spans="1:5" x14ac:dyDescent="0.55000000000000004">
      <c r="A7">
        <v>6</v>
      </c>
      <c r="B7" t="s">
        <v>42</v>
      </c>
      <c r="C7" t="s">
        <v>37</v>
      </c>
      <c r="D7" t="s">
        <v>44</v>
      </c>
      <c r="E7" t="s">
        <v>19</v>
      </c>
    </row>
    <row r="8" spans="1:5" x14ac:dyDescent="0.55000000000000004">
      <c r="A8">
        <v>7</v>
      </c>
      <c r="B8" t="s">
        <v>45</v>
      </c>
      <c r="C8" t="s">
        <v>35</v>
      </c>
      <c r="D8" t="s">
        <v>46</v>
      </c>
      <c r="E8" t="s">
        <v>20</v>
      </c>
    </row>
    <row r="9" spans="1:5" x14ac:dyDescent="0.55000000000000004">
      <c r="A9">
        <v>8</v>
      </c>
      <c r="B9" t="s">
        <v>45</v>
      </c>
      <c r="C9" t="s">
        <v>37</v>
      </c>
      <c r="D9" t="s">
        <v>47</v>
      </c>
      <c r="E9" t="s">
        <v>21</v>
      </c>
    </row>
    <row r="10" spans="1:5" x14ac:dyDescent="0.55000000000000004">
      <c r="A10">
        <v>9</v>
      </c>
      <c r="B10" t="s">
        <v>48</v>
      </c>
      <c r="C10" t="s">
        <v>35</v>
      </c>
      <c r="D10" t="s">
        <v>49</v>
      </c>
      <c r="E10" t="s">
        <v>22</v>
      </c>
    </row>
    <row r="11" spans="1:5" x14ac:dyDescent="0.55000000000000004">
      <c r="A11">
        <v>10</v>
      </c>
      <c r="B11" t="s">
        <v>48</v>
      </c>
      <c r="C11" t="s">
        <v>37</v>
      </c>
      <c r="D11" t="s">
        <v>50</v>
      </c>
      <c r="E11" t="s">
        <v>23</v>
      </c>
    </row>
    <row r="12" spans="1:5" x14ac:dyDescent="0.55000000000000004">
      <c r="A12">
        <v>11</v>
      </c>
      <c r="B12" t="s">
        <v>51</v>
      </c>
      <c r="C12" t="s">
        <v>35</v>
      </c>
      <c r="D12" t="s">
        <v>52</v>
      </c>
      <c r="E12" t="s">
        <v>24</v>
      </c>
    </row>
    <row r="13" spans="1:5" x14ac:dyDescent="0.55000000000000004">
      <c r="A13">
        <v>12</v>
      </c>
      <c r="B13" t="s">
        <v>51</v>
      </c>
      <c r="C13" t="s">
        <v>37</v>
      </c>
      <c r="D13" t="s">
        <v>53</v>
      </c>
      <c r="E13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5A3B4E-1F86-4E2E-8EB7-AA7F2E5629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Ranking the Results</vt:lpstr>
      <vt:lpstr>Source Data from CSV</vt:lpstr>
      <vt:lpstr>DNS Server from 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Stremmelaar</dc:creator>
  <cp:lastModifiedBy>Paul Stremmelaar</cp:lastModifiedBy>
  <dcterms:created xsi:type="dcterms:W3CDTF">2026-06-23T07:00:47Z</dcterms:created>
  <dcterms:modified xsi:type="dcterms:W3CDTF">2026-06-26T04:04:26Z</dcterms:modified>
</cp:coreProperties>
</file>